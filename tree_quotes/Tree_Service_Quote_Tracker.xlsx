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Quote Tracker" sheetId="1"/>
    <sheet r:id="rId2" name="Legend &amp; Instructions" sheetId="2"/>
  </sheets>
  <definedNames>
    <definedName name="_xlnm.Print_Titles" localSheetId="0">'Quote Tracker'!$1:$3</definedName>
  </definedNames>
  <calcPr calcId="0" iterateCount="100" iterateDelta="0.001"/>
</workbook>
</file>

<file path=xl/sharedStrings.xml><?xml version="1.0" encoding="utf-8"?>
<sst xmlns="http://schemas.openxmlformats.org/spreadsheetml/2006/main" count="73" uniqueCount="73">
  <si>
    <t>TREE SERVICE QUOTE TRACKER  ·  Kennett Square, PA</t>
  </si>
  <si>
    <t>Jobs: (1) Removal of large dead cherry tree   |   (2) Removal of large live white oak tree   |   Additional work TBD</t>
  </si>
  <si>
    <t>Company Name</t>
  </si>
  <si>
    <t>Phone</t>
  </si>
  <si>
    <t>Address</t>
  </si>
  <si>
    <t>Rating</t>
  </si>
  <si>
    <t>Priority</t>
  </si>
  <si>
    <t>Date Contacted</t>
  </si>
  <si>
    <t>Initial Call Notes</t>
  </si>
  <si>
    <t>Follow-Up Needed?</t>
  </si>
  <si>
    <t>Follow-Up Date</t>
  </si>
  <si>
    <t>Bid: Dead Cherry Removal</t>
  </si>
  <si>
    <t>Bid: Live White Oak Removal</t>
  </si>
  <si>
    <t>Bid: Other Work</t>
  </si>
  <si>
    <t>Total Bid</t>
  </si>
  <si>
    <t>Notes / Impressions</t>
  </si>
  <si>
    <t>Status</t>
  </si>
  <si>
    <t>Maple Hill Tree Care</t>
  </si>
  <si>
    <t>(610) 347-0199</t>
  </si>
  <si>
    <t>837 Marlboro Spring Rd, Kennett Square, PA 19348</t>
  </si>
  <si>
    <t>Pending</t>
  </si>
  <si>
    <t>Tree Huggerz Inc</t>
  </si>
  <si>
    <t>(610) 606-1228</t>
  </si>
  <si>
    <t>8840 Gap Newport Pike, Landenberg, PA 19350</t>
  </si>
  <si>
    <t>RED OAK TREE SERVICE</t>
  </si>
  <si>
    <t>(610) 636-3234</t>
  </si>
  <si>
    <t>1410 Baltimore Pike, Chadds Ford, PA 19317</t>
  </si>
  <si>
    <t>Tree Guys Tree Service</t>
  </si>
  <si>
    <t>(484) 432-0180</t>
  </si>
  <si>
    <t>415 Ivy Mills Rd, Glen Mills, PA 19342</t>
  </si>
  <si>
    <t>AC Tree Experts</t>
  </si>
  <si>
    <t>(610) 241-0609</t>
  </si>
  <si>
    <t>905 Delicious Dr, West Chester, PA 19380</t>
  </si>
  <si>
    <t>R &amp; H Tree Service</t>
  </si>
  <si>
    <t>(484) 947-4052</t>
  </si>
  <si>
    <t>2176 Strasburg Rd, East Fallowfield Twp, PA 19320</t>
  </si>
  <si>
    <t>Treemendous Tree Care &amp; Arborist</t>
  </si>
  <si>
    <t>(302) 353-0574</t>
  </si>
  <si>
    <t>Landenberg / DE area</t>
  </si>
  <si>
    <t>Roger Summers Lawn Care</t>
  </si>
  <si>
    <t>(302) 218-3319</t>
  </si>
  <si>
    <t>386 Woodview Rd, West Grove, PA 19390</t>
  </si>
  <si>
    <t>Known/Trusted</t>
  </si>
  <si>
    <t>3/18/2026 online inquiry</t>
  </si>
  <si>
    <t>BID COMPARISON SUMMARY</t>
  </si>
  <si>
    <t>Company</t>
  </si>
  <si>
    <t>Cherry Tree</t>
  </si>
  <si>
    <t>White Oak</t>
  </si>
  <si>
    <t>Other Work</t>
  </si>
  <si>
    <t>TOTAL BID</t>
  </si>
  <si>
    <t>LEGEND &amp; INSTRUCTIONS</t>
  </si>
  <si>
    <t>STATUS CODES</t>
  </si>
  <si>
    <t>Default status. Contact has not yet been made or quote not yet received.</t>
  </si>
  <si>
    <t>Quote Received</t>
  </si>
  <si>
    <t>Company has provided a formal bid.</t>
  </si>
  <si>
    <t>Selected</t>
  </si>
  <si>
    <t>This company has been chosen for the job.</t>
  </si>
  <si>
    <t>Declined</t>
  </si>
  <si>
    <t>Quote declined or company not proceeding.</t>
  </si>
  <si>
    <t>No Response</t>
  </si>
  <si>
    <t>Company did not respond after contact attempt(s).</t>
  </si>
  <si>
    <t>COLUMN NOTES</t>
  </si>
  <si>
    <t>Auto-calculated: sum of Cherry Tree + White Oak + Other Work bids.</t>
  </si>
  <si>
    <t>Dropdown: Yes / No</t>
  </si>
  <si>
    <t>Roger Summers pre-filled as Known/Trusted. Add your own priority notes.</t>
  </si>
  <si>
    <t>Leave blank until additional work scope is defined.</t>
  </si>
  <si>
    <t>TIPS</t>
  </si>
  <si>
    <t>Color Scale</t>
  </si>
  <si>
    <t>Total Bid column uses a green-yellow-red color scale: lowest bid = green, highest = red.</t>
  </si>
  <si>
    <t>Sorting</t>
  </si>
  <si>
    <t>Sort by Total Bid column (ascending) to rank quotes once all bids are received.</t>
  </si>
  <si>
    <t>Print</t>
  </si>
  <si>
    <t>Sheet is pre-configured for landscape Letter printing with headers on every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</si>
</sst>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383" formatCode="0.0"/>
    <numFmt numFmtId="384" formatCode="MM/DD/YYYY"/>
    <numFmt numFmtId="385" formatCode="&quot;$&quot;#,##0.00"/>
  </numFmts>
  <fonts count="14">
    <font>
      <b val="0"/>
      <i val="0"/>
      <sz val="11"/>
      <color theme="1"/>
      <name val="Calibri"/>
      <scheme val="minor"/>
    </font>
    <font>
      <b/>
      <i val="0"/>
      <sz val="16"/>
      <color rgb="FFFFFFFF"/>
      <name val="Calibri"/>
    </font>
    <font>
      <b val="0"/>
      <i/>
      <sz val="10"/>
      <color rgb="FFFFFFFF"/>
      <name val="Calibri"/>
    </font>
    <font>
      <b/>
      <i val="0"/>
      <sz val="10"/>
      <color rgb="FFFFFFFF"/>
      <name val="Calibri"/>
    </font>
    <font>
      <b/>
      <i val="0"/>
      <sz val="10"/>
      <color rgb="FF1A1A2E"/>
      <name val="Calibri"/>
    </font>
    <font>
      <b val="0"/>
      <i val="0"/>
      <sz val="10"/>
      <color rgb="FF1A1A2E"/>
      <name val="Calibri"/>
    </font>
    <font>
      <b/>
      <i val="0"/>
      <sz val="10"/>
      <color rgb="FFB45309"/>
      <name val="Calibri"/>
    </font>
    <font>
      <b/>
      <i val="0"/>
      <sz val="12"/>
      <color rgb="FFFFFFFF"/>
      <name val="Calibri"/>
    </font>
    <font>
      <b/>
      <i val="0"/>
      <sz val="14"/>
      <color rgb="FFFFFFFF"/>
      <name val="Calibri"/>
    </font>
    <font>
      <b/>
      <i val="0"/>
      <sz val="11"/>
      <color rgb="FFFFFFFF"/>
      <name val="Calibri"/>
    </font>
    <font>
      <b val="0"/>
      <i val="0"/>
      <sz val="10"/>
      <color rgb="FF7B6000"/>
      <name val="Calibri"/>
    </font>
    <font>
      <b val="0"/>
      <i val="0"/>
      <sz val="10"/>
      <color rgb="FF1B5E20"/>
      <name val="Calibri"/>
    </font>
    <font>
      <b val="0"/>
      <i val="0"/>
      <sz val="10"/>
      <color rgb="FF0D47A1"/>
      <name val="Calibri"/>
    </font>
    <font>
      <b val="0"/>
      <i val="0"/>
      <sz val="10"/>
      <color rgb="FFB71C1C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B4332"/>
      </patternFill>
    </fill>
    <fill>
      <patternFill patternType="solid">
        <fgColor rgb="FF2D6A4F"/>
      </patternFill>
    </fill>
    <fill>
      <patternFill patternType="solid">
        <fgColor rgb="FFD8F3DC"/>
      </patternFill>
    </fill>
    <fill>
      <patternFill patternType="solid">
        <fgColor rgb="FFFFFFFF"/>
      </patternFill>
    </fill>
    <fill>
      <patternFill patternType="solid">
        <fgColor rgb="FFFFF3E0"/>
      </patternFill>
    </fill>
    <fill>
      <patternFill patternType="solid">
        <fgColor rgb="FFFFF9C4"/>
      </patternFill>
    </fill>
    <fill>
      <patternFill patternType="solid">
        <fgColor rgb="FFC8E6C9"/>
      </patternFill>
    </fill>
    <fill>
      <patternFill patternType="solid">
        <fgColor rgb="FFB3E5FC"/>
      </patternFill>
    </fill>
    <fill>
      <patternFill patternType="solid">
        <fgColor rgb="FFFFCDD2"/>
      </patternFill>
    </fill>
    <fill>
      <patternFill patternType="solid">
        <fgColor rgb="FFF0F0F0"/>
      </patternFill>
    </fill>
  </fills>
  <borders count="7">
    <border>
      <left/>
      <right/>
      <top/>
      <bottom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1"/>
  </cellStyleXfs>
  <cellXfs count="49">
    <xf numFmtId="0" fontId="0" fillId="0" borderId="1" xfId="0"/>
    <xf numFmtId="0" fontId="0" fillId="0" borderId="1" xfId="0">
      <alignment horizontal="center" vertical="center"/>
    </xf>
    <xf numFmtId="0" fontId="1" fillId="2" borderId="1" xfId="0" quotePrefix="0">
      <alignment horizontal="center" vertical="center"/>
    </xf>
    <xf numFmtId="0" fontId="2" fillId="3" borderId="1" xfId="0" quotePrefix="0">
      <alignment horizontal="center" vertical="center"/>
    </xf>
    <xf numFmtId="0" fontId="3" fillId="2" borderId="5" xfId="0" quotePrefix="0">
      <alignment horizontal="center" vertical="center" wrapText="1"/>
    </xf>
    <xf numFmtId="0" fontId="4" fillId="4" borderId="6" xfId="0" quotePrefix="0">
      <alignment vertical="center"/>
    </xf>
    <xf numFmtId="0" fontId="5" fillId="4" borderId="6" xfId="0" quotePrefix="0">
      <alignment vertical="center"/>
    </xf>
    <xf numFmtId="0" fontId="5" fillId="4" borderId="6" xfId="0" quotePrefix="0">
      <alignment vertical="center" wrapText="1"/>
    </xf>
    <xf numFmtId="383" fontId="5" fillId="4" borderId="6" xfId="0" quotePrefix="0">
      <alignment horizontal="center" vertical="center"/>
    </xf>
    <xf numFmtId="384" fontId="5" fillId="4" borderId="6" xfId="0" quotePrefix="0">
      <alignment vertical="center"/>
    </xf>
    <xf numFmtId="385" fontId="5" fillId="4" borderId="6" xfId="0" quotePrefix="0">
      <alignment vertical="center"/>
    </xf>
    <xf numFmtId="385" fontId="4" fillId="4" borderId="6" xfId="0" quotePrefix="0">
      <alignment vertical="center"/>
    </xf>
    <xf numFmtId="0" fontId="4" fillId="5" borderId="6" xfId="0" quotePrefix="0">
      <alignment vertical="center"/>
    </xf>
    <xf numFmtId="0" fontId="5" fillId="5" borderId="6" xfId="0" quotePrefix="0">
      <alignment vertical="center"/>
    </xf>
    <xf numFmtId="0" fontId="5" fillId="5" borderId="6" xfId="0" quotePrefix="0">
      <alignment vertical="center" wrapText="1"/>
    </xf>
    <xf numFmtId="383" fontId="5" fillId="5" borderId="6" xfId="0" quotePrefix="0">
      <alignment horizontal="center" vertical="center"/>
    </xf>
    <xf numFmtId="384" fontId="5" fillId="5" borderId="6" xfId="0" quotePrefix="0">
      <alignment vertical="center"/>
    </xf>
    <xf numFmtId="385" fontId="5" fillId="5" borderId="6" xfId="0" quotePrefix="0">
      <alignment vertical="center"/>
    </xf>
    <xf numFmtId="385" fontId="4" fillId="5" borderId="6" xfId="0" quotePrefix="0">
      <alignment vertical="center"/>
    </xf>
    <xf numFmtId="0" fontId="4" fillId="6" borderId="6" xfId="0" quotePrefix="0">
      <alignment vertical="center"/>
    </xf>
    <xf numFmtId="0" fontId="5" fillId="6" borderId="6" xfId="0" quotePrefix="0">
      <alignment vertical="center"/>
    </xf>
    <xf numFmtId="0" fontId="5" fillId="6" borderId="6" xfId="0" quotePrefix="0">
      <alignment vertical="center" wrapText="1"/>
    </xf>
    <xf numFmtId="383" fontId="5" fillId="6" borderId="6" xfId="0" quotePrefix="0">
      <alignment horizontal="center" vertical="center"/>
    </xf>
    <xf numFmtId="0" fontId="6" fillId="6" borderId="6" xfId="0" quotePrefix="0">
      <alignment vertical="center"/>
    </xf>
    <xf numFmtId="384" fontId="5" fillId="6" borderId="6" xfId="0" quotePrefix="0">
      <alignment vertical="center"/>
    </xf>
    <xf numFmtId="385" fontId="5" fillId="6" borderId="6" xfId="0" quotePrefix="0">
      <alignment vertical="center"/>
    </xf>
    <xf numFmtId="385" fontId="4" fillId="6" borderId="6" xfId="0" quotePrefix="0">
      <alignment vertical="center"/>
    </xf>
    <xf numFmtId="0" fontId="7" fillId="2" borderId="1" xfId="0" quotePrefix="0">
      <alignment horizontal="center" vertical="center"/>
    </xf>
    <xf numFmtId="0" fontId="3" fillId="3" borderId="6" xfId="0" quotePrefix="0">
      <alignment horizontal="center" vertical="center"/>
    </xf>
    <xf numFmtId="385" fontId="5" fillId="4" borderId="6" xfId="0" quotePrefix="0">
      <alignment horizontal="center" vertical="center"/>
    </xf>
    <xf numFmtId="385" fontId="4" fillId="4" borderId="6" xfId="0" quotePrefix="0">
      <alignment horizontal="center" vertical="center"/>
    </xf>
    <xf numFmtId="385" fontId="5" fillId="5" borderId="6" xfId="0" quotePrefix="0">
      <alignment horizontal="center" vertical="center"/>
    </xf>
    <xf numFmtId="385" fontId="4" fillId="5" borderId="6" xfId="0" quotePrefix="0">
      <alignment horizontal="center" vertical="center"/>
    </xf>
    <xf numFmtId="385" fontId="5" fillId="6" borderId="6" xfId="0" quotePrefix="0">
      <alignment horizontal="center" vertical="center"/>
    </xf>
    <xf numFmtId="385" fontId="4" fillId="6" borderId="6" xfId="0" quotePrefix="0">
      <alignment horizontal="center" vertical="center"/>
    </xf>
    <xf numFmtId="0" fontId="8" fillId="2" borderId="6" xfId="0" quotePrefix="0">
      <alignment horizontal="left" vertical="center"/>
    </xf>
    <xf numFmtId="0" fontId="0" fillId="0" borderId="4" xfId="0" quotePrefix="0"/>
    <xf numFmtId="0" fontId="5" fillId="5" borderId="6" xfId="0" quotePrefix="0">
      <alignment horizontal="left" vertical="center"/>
    </xf>
    <xf numFmtId="0" fontId="9" fillId="3" borderId="6" xfId="0" quotePrefix="0">
      <alignment horizontal="left" vertical="center"/>
    </xf>
    <xf numFmtId="0" fontId="10" fillId="7" borderId="6" xfId="0" quotePrefix="0">
      <alignment horizontal="left" vertical="center"/>
    </xf>
    <xf numFmtId="0" fontId="10" fillId="7" borderId="6" xfId="0" quotePrefix="0">
      <alignment vertical="center" wrapText="1"/>
    </xf>
    <xf numFmtId="0" fontId="11" fillId="8" borderId="6" xfId="0" quotePrefix="0">
      <alignment horizontal="left" vertical="center"/>
    </xf>
    <xf numFmtId="0" fontId="11" fillId="8" borderId="6" xfId="0" quotePrefix="0">
      <alignment vertical="center" wrapText="1"/>
    </xf>
    <xf numFmtId="0" fontId="12" fillId="9" borderId="6" xfId="0" quotePrefix="0">
      <alignment horizontal="left" vertical="center"/>
    </xf>
    <xf numFmtId="0" fontId="12" fillId="9" borderId="6" xfId="0" quotePrefix="0">
      <alignment vertical="center" wrapText="1"/>
    </xf>
    <xf numFmtId="0" fontId="13" fillId="10" borderId="6" xfId="0" quotePrefix="0">
      <alignment horizontal="left" vertical="center"/>
    </xf>
    <xf numFmtId="0" fontId="13" fillId="10" borderId="6" xfId="0" quotePrefix="0">
      <alignment vertical="center" wrapText="1"/>
    </xf>
    <xf numFmtId="0" fontId="5" fillId="11" borderId="6" xfId="0" quotePrefix="0">
      <alignment horizontal="left" vertical="center"/>
    </xf>
    <xf numFmtId="0" fontId="5" fillId="11" borderId="6" xfId="0" quotePrefix="0">
      <alignment vertical="center" wrapText="1"/>
    </xf>
  </cellXfs>
  <cellStyles count="1">
    <cellStyle name="Normal" xfId="0" builtinId="0"/>
  </cellStyles>
  <dxfs count="4">
    <dxf>
      <font>
        <sz val="10"/>
        <color rgb="FF7B6000"/>
        <name val="Calibri"/>
      </font>
      <fill>
        <patternFill patternType="solid">
          <fgColor rgb="FFFFF9C4"/>
          <bgColor rgb="FFFFF9C4"/>
        </patternFill>
      </fill>
    </dxf>
    <dxf>
      <font>
        <sz val="10"/>
        <color rgb="FF1B5E20"/>
        <name val="Calibri"/>
      </font>
      <fill>
        <patternFill patternType="solid">
          <fgColor rgb="FFC8E6C9"/>
          <bgColor rgb="FFC8E6C9"/>
        </patternFill>
      </fill>
    </dxf>
    <dxf>
      <font>
        <b/>
        <sz val="10"/>
        <color rgb="FF0D47A1"/>
        <name val="Calibri"/>
      </font>
      <fill>
        <patternFill patternType="solid">
          <fgColor rgb="FFB3E5FC"/>
          <bgColor rgb="FFB3E5FC"/>
        </patternFill>
      </fill>
    </dxf>
    <dxf>
      <font>
        <sz val="10"/>
        <color rgb="FFB71C1C"/>
        <name val="Calibri"/>
      </font>
      <fill>
        <patternFill patternType="solid">
          <fgColor rgb="FFFFCDD2"/>
          <bgColor rgb="FFFFCDD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809A5C8-28A8-8158-3D04-9281C6B859A5}" mc:Ignorable="x14ac xr xr2 xr3">
  <sheetPr>
    <pageSetUpPr fitToPage="1"/>
  </sheetPr>
  <dimension ref="A1:AX501"/>
  <sheetViews>
    <sheetView topLeftCell="A1" workbookViewId="0" tabSelected="1">
      <pane ySplit="1" topLeftCell="A4" activePane="bottomLeft" state="frozen"/>
      <selection pane="bottomLeft" activeCell="F12" sqref="F12"/>
    </sheetView>
  </sheetViews>
  <sheetFormatPr defaultRowHeight="21.75" defaultColWidth="9.140625" customHeight="1"/>
  <cols>
    <col min="1" max="1" width="27.7109375" customWidth="1"/>
    <col min="2" max="2" width="12.28125" customWidth="1"/>
    <col min="3" max="3" width="39.7109375" customWidth="1"/>
    <col min="4" max="4" width="9.8515625" customWidth="1"/>
    <col min="5" max="6" width="12.7109375" customWidth="1"/>
    <col min="7" max="7" width="13.421875" customWidth="1"/>
    <col min="8" max="8" width="16.00390625" customWidth="1"/>
    <col min="9" max="9" width="12.7109375" customWidth="1"/>
    <col min="10" max="10" width="21.140625" customWidth="1"/>
    <col min="11" max="11" width="23.28125" customWidth="1"/>
    <col min="12" max="12" width="13.28125" customWidth="1"/>
    <col min="13" max="13" width="7.28125" customWidth="1"/>
    <col min="14" max="14" width="16.28125" customWidth="1"/>
    <col min="15" max="15" width="6.710937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36" customHeight="1">
      <c r="A2" s="2" t="s">
        <v>0</v>
      </c>
    </row>
    <row r="3" ht="21.75" customHeight="1">
      <c r="A3" s="3" t="s">
        <v>1</v>
      </c>
    </row>
    <row r="4" ht="30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</row>
    <row r="5" ht="27.75" customHeight="1">
      <c r="A5" s="5" t="s">
        <v>17</v>
      </c>
      <c r="B5" s="6" t="s">
        <v>18</v>
      </c>
      <c r="C5" s="7" t="s">
        <v>19</v>
      </c>
      <c r="D5" s="8">
        <v>5</v>
      </c>
      <c r="E5" s="6"/>
      <c r="F5" s="9"/>
      <c r="G5" s="7"/>
      <c r="H5" s="6"/>
      <c r="I5" s="9"/>
      <c r="J5" s="10"/>
      <c r="K5" s="10"/>
      <c r="L5" s="10"/>
      <c r="M5" s="11">
        <f t="shared" si="0" ref="M5:M12">_xlfn.IFERROR(SUM(J5,K5,L5),"")</f>
        <v>0</v>
      </c>
      <c r="N5" s="7"/>
      <c r="O5" s="6" t="s">
        <v>20</v>
      </c>
    </row>
    <row r="6" ht="27.75" customHeight="1">
      <c r="A6" s="12" t="s">
        <v>21</v>
      </c>
      <c r="B6" s="13" t="s">
        <v>22</v>
      </c>
      <c r="C6" s="14" t="s">
        <v>23</v>
      </c>
      <c r="D6" s="15">
        <v>4.9</v>
      </c>
      <c r="E6" s="13"/>
      <c r="F6" s="16"/>
      <c r="G6" s="14"/>
      <c r="H6" s="13"/>
      <c r="I6" s="16"/>
      <c r="J6" s="17"/>
      <c r="K6" s="17"/>
      <c r="L6" s="17"/>
      <c r="M6" s="18">
        <f t="shared" si="0"/>
        <v>0</v>
      </c>
      <c r="N6" s="14"/>
      <c r="O6" s="13" t="s">
        <v>20</v>
      </c>
    </row>
    <row r="7" ht="27.75" customHeight="1">
      <c r="A7" s="5" t="s">
        <v>24</v>
      </c>
      <c r="B7" s="6" t="s">
        <v>25</v>
      </c>
      <c r="C7" s="7" t="s">
        <v>26</v>
      </c>
      <c r="D7" s="8">
        <v>5</v>
      </c>
      <c r="E7" s="6"/>
      <c r="F7" s="9"/>
      <c r="G7" s="7"/>
      <c r="H7" s="6"/>
      <c r="I7" s="9"/>
      <c r="J7" s="10"/>
      <c r="K7" s="10"/>
      <c r="L7" s="10"/>
      <c r="M7" s="11">
        <f t="shared" si="0"/>
        <v>0</v>
      </c>
      <c r="N7" s="7"/>
      <c r="O7" s="6" t="s">
        <v>20</v>
      </c>
    </row>
    <row r="8" ht="27.75" customHeight="1">
      <c r="A8" s="12" t="s">
        <v>27</v>
      </c>
      <c r="B8" s="13" t="s">
        <v>28</v>
      </c>
      <c r="C8" s="14" t="s">
        <v>29</v>
      </c>
      <c r="D8" s="15">
        <v>4.9</v>
      </c>
      <c r="E8" s="13"/>
      <c r="F8" s="16"/>
      <c r="G8" s="14"/>
      <c r="H8" s="13"/>
      <c r="I8" s="16"/>
      <c r="J8" s="17"/>
      <c r="K8" s="17"/>
      <c r="L8" s="17"/>
      <c r="M8" s="18">
        <f t="shared" si="0"/>
        <v>0</v>
      </c>
      <c r="N8" s="14"/>
      <c r="O8" s="13" t="s">
        <v>20</v>
      </c>
    </row>
    <row r="9" ht="27.75" customHeight="1">
      <c r="A9" s="5" t="s">
        <v>30</v>
      </c>
      <c r="B9" s="6" t="s">
        <v>31</v>
      </c>
      <c r="C9" s="7" t="s">
        <v>32</v>
      </c>
      <c r="D9" s="8">
        <v>4.9</v>
      </c>
      <c r="E9" s="6"/>
      <c r="F9" s="9"/>
      <c r="G9" s="7"/>
      <c r="H9" s="6"/>
      <c r="I9" s="9"/>
      <c r="J9" s="10"/>
      <c r="K9" s="10"/>
      <c r="L9" s="10"/>
      <c r="M9" s="11">
        <f t="shared" si="0"/>
        <v>0</v>
      </c>
      <c r="N9" s="7"/>
      <c r="O9" s="6" t="s">
        <v>20</v>
      </c>
    </row>
    <row r="10" ht="27.75" customHeight="1">
      <c r="A10" s="12" t="s">
        <v>33</v>
      </c>
      <c r="B10" s="13" t="s">
        <v>34</v>
      </c>
      <c r="C10" s="14" t="s">
        <v>35</v>
      </c>
      <c r="D10" s="15">
        <v>5</v>
      </c>
      <c r="E10" s="13"/>
      <c r="F10" s="16"/>
      <c r="G10" s="14"/>
      <c r="H10" s="13"/>
      <c r="I10" s="16"/>
      <c r="J10" s="17"/>
      <c r="K10" s="17"/>
      <c r="L10" s="17"/>
      <c r="M10" s="18">
        <f t="shared" si="0"/>
        <v>0</v>
      </c>
      <c r="N10" s="14"/>
      <c r="O10" s="13" t="s">
        <v>20</v>
      </c>
    </row>
    <row r="11" ht="27.75" customHeight="1">
      <c r="A11" s="5" t="s">
        <v>36</v>
      </c>
      <c r="B11" s="6" t="s">
        <v>37</v>
      </c>
      <c r="C11" s="7" t="s">
        <v>38</v>
      </c>
      <c r="D11" s="8">
        <v>4.9</v>
      </c>
      <c r="E11" s="6"/>
      <c r="F11" s="9"/>
      <c r="G11" s="7"/>
      <c r="H11" s="6"/>
      <c r="I11" s="9"/>
      <c r="J11" s="10"/>
      <c r="K11" s="10"/>
      <c r="L11" s="10"/>
      <c r="M11" s="11">
        <f t="shared" si="0"/>
        <v>0</v>
      </c>
      <c r="N11" s="7"/>
      <c r="O11" s="6" t="s">
        <v>20</v>
      </c>
    </row>
    <row r="12" ht="27.75" customHeight="1">
      <c r="A12" s="19" t="s">
        <v>39</v>
      </c>
      <c r="B12" s="20" t="s">
        <v>40</v>
      </c>
      <c r="C12" s="21" t="s">
        <v>41</v>
      </c>
      <c r="D12" s="22">
        <v>4.5</v>
      </c>
      <c r="E12" s="23" t="s">
        <v>42</v>
      </c>
      <c r="F12" s="24" t="s">
        <v>43</v>
      </c>
      <c r="G12" s="21"/>
      <c r="H12" s="20"/>
      <c r="I12" s="24"/>
      <c r="J12" s="25"/>
      <c r="K12" s="25"/>
      <c r="L12" s="25"/>
      <c r="M12" s="26">
        <f t="shared" si="0"/>
        <v>0</v>
      </c>
      <c r="N12" s="21"/>
      <c r="O12" s="20" t="s">
        <v>20</v>
      </c>
    </row>
    <row r="13" ht="9.75" customHeight="1"/>
    <row r="14" ht="26.25" customHeight="1">
      <c r="A14" s="27" t="s">
        <v>44</v>
      </c>
    </row>
    <row r="15" ht="21.75" customHeight="1">
      <c r="A15" s="28" t="s">
        <v>45</v>
      </c>
      <c r="B15" s="28" t="s">
        <v>46</v>
      </c>
      <c r="C15" s="28" t="s">
        <v>47</v>
      </c>
      <c r="D15" s="28" t="s">
        <v>48</v>
      </c>
      <c r="E15" s="28" t="s">
        <v>49</v>
      </c>
    </row>
    <row r="16" ht="21.75" customHeight="1">
      <c r="A16" s="5" t="str">
        <f t="shared" si="2" ref="A16:A23">A5</f>
        <v>Maple Hill Tree Care</v>
      </c>
      <c r="B16" s="29">
        <f t="shared" si="1" ref="B16:E23">J5</f>
        <v>0</v>
      </c>
      <c r="C16" s="29">
        <f t="shared" si="1"/>
        <v>0</v>
      </c>
      <c r="D16" s="29">
        <f t="shared" si="1"/>
        <v>0</v>
      </c>
      <c r="E16" s="30">
        <f t="shared" si="1"/>
        <v>0</v>
      </c>
    </row>
    <row r="17" ht="21.75" customHeight="1">
      <c r="A17" s="12" t="str">
        <f t="shared" si="2"/>
        <v>Tree Huggerz Inc</v>
      </c>
      <c r="B17" s="31">
        <f t="shared" si="1"/>
        <v>0</v>
      </c>
      <c r="C17" s="31">
        <f t="shared" si="1"/>
        <v>0</v>
      </c>
      <c r="D17" s="31">
        <f t="shared" si="1"/>
        <v>0</v>
      </c>
      <c r="E17" s="32">
        <f t="shared" si="1"/>
        <v>0</v>
      </c>
    </row>
    <row r="18" ht="21.75" customHeight="1">
      <c r="A18" s="5" t="str">
        <f t="shared" si="2"/>
        <v>RED OAK TREE SERVICE</v>
      </c>
      <c r="B18" s="29">
        <f t="shared" si="1"/>
        <v>0</v>
      </c>
      <c r="C18" s="29">
        <f t="shared" si="1"/>
        <v>0</v>
      </c>
      <c r="D18" s="29">
        <f t="shared" si="1"/>
        <v>0</v>
      </c>
      <c r="E18" s="30">
        <f t="shared" si="1"/>
        <v>0</v>
      </c>
    </row>
    <row r="19" ht="21.75" customHeight="1">
      <c r="A19" s="12" t="str">
        <f t="shared" si="2"/>
        <v>Tree Guys Tree Service</v>
      </c>
      <c r="B19" s="31">
        <f t="shared" si="1"/>
        <v>0</v>
      </c>
      <c r="C19" s="31">
        <f t="shared" si="1"/>
        <v>0</v>
      </c>
      <c r="D19" s="31">
        <f t="shared" si="1"/>
        <v>0</v>
      </c>
      <c r="E19" s="32">
        <f t="shared" si="1"/>
        <v>0</v>
      </c>
    </row>
    <row r="20" ht="21.75" customHeight="1">
      <c r="A20" s="5" t="str">
        <f t="shared" si="2"/>
        <v>AC Tree Experts</v>
      </c>
      <c r="B20" s="29">
        <f t="shared" si="1"/>
        <v>0</v>
      </c>
      <c r="C20" s="29">
        <f t="shared" si="1"/>
        <v>0</v>
      </c>
      <c r="D20" s="29">
        <f t="shared" si="1"/>
        <v>0</v>
      </c>
      <c r="E20" s="30">
        <f t="shared" si="1"/>
        <v>0</v>
      </c>
    </row>
    <row r="21" ht="21.75" customHeight="1">
      <c r="A21" s="12" t="str">
        <f t="shared" si="2"/>
        <v>R &amp; H Tree Service</v>
      </c>
      <c r="B21" s="31">
        <f t="shared" si="1"/>
        <v>0</v>
      </c>
      <c r="C21" s="31">
        <f t="shared" si="1"/>
        <v>0</v>
      </c>
      <c r="D21" s="31">
        <f t="shared" si="1"/>
        <v>0</v>
      </c>
      <c r="E21" s="32">
        <f t="shared" si="1"/>
        <v>0</v>
      </c>
    </row>
    <row r="22" ht="21.75" customHeight="1">
      <c r="A22" s="5" t="str">
        <f t="shared" si="2"/>
        <v>Treemendous Tree Care &amp; Arborist</v>
      </c>
      <c r="B22" s="29">
        <f t="shared" si="1"/>
        <v>0</v>
      </c>
      <c r="C22" s="29">
        <f t="shared" si="1"/>
        <v>0</v>
      </c>
      <c r="D22" s="29">
        <f t="shared" si="1"/>
        <v>0</v>
      </c>
      <c r="E22" s="30">
        <f t="shared" si="1"/>
        <v>0</v>
      </c>
    </row>
    <row r="23" ht="21.75" customHeight="1">
      <c r="A23" s="19" t="str">
        <f t="shared" si="2"/>
        <v>Roger Summers Lawn Care</v>
      </c>
      <c r="B23" s="33">
        <f t="shared" si="1"/>
        <v>0</v>
      </c>
      <c r="C23" s="33">
        <f t="shared" si="1"/>
        <v>0</v>
      </c>
      <c r="D23" s="33">
        <f t="shared" si="1"/>
        <v>0</v>
      </c>
      <c r="E23" s="34">
        <f t="shared" si="1"/>
        <v>0</v>
      </c>
    </row>
  </sheetData>
  <mergeCells>
    <mergeCell ref="A2:O2"/>
    <mergeCell ref="A14:E14"/>
    <mergeCell ref="A3:O3"/>
  </mergeCells>
  <conditionalFormatting sqref="O5:O12">
    <cfRule type="cellIs" dxfId="0" priority="1" operator="equal" text="null">
      <formula>"Pending"</formula>
    </cfRule>
  </conditionalFormatting>
  <conditionalFormatting sqref="O5:O12">
    <cfRule type="cellIs" dxfId="1" priority="2" operator="equal" text="null">
      <formula>"Quote Received"</formula>
    </cfRule>
  </conditionalFormatting>
  <conditionalFormatting sqref="O5:O12">
    <cfRule type="cellIs" dxfId="2" priority="3" operator="equal" text="null">
      <formula>"Selected"</formula>
    </cfRule>
  </conditionalFormatting>
  <conditionalFormatting sqref="O5:O12">
    <cfRule type="cellIs" dxfId="3" priority="4" operator="equal" text="null">
      <formula>"Declined"</formula>
    </cfRule>
  </conditionalFormatting>
  <conditionalFormatting sqref="M5:M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6:E2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2">
    <dataValidation sqref="O5:O12" type="list">
      <formula1>"Pending,Quote Received,Selected,Declined,No Response"</formula1>
    </dataValidation>
    <dataValidation allowBlank="1" sqref="H5:H12" type="list">
      <formula1>"Yes,No"</formula1>
    </dataValidation>
  </dataValidations>
  <printOptions/>
  <pageMargins left="0.75" right="0.75" top="1" bottom="1" header="0.5" footer="0.5"/>
  <pageSetup useFirstPageNumber="1" paperSize="1" fitToHeight="0" pageOrder="downThenOver" orientation="landscape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090F5C8-FB48-32B8-53B8-2F7426FBB8E8}" mc:Ignorable="x14ac xr xr2 xr3">
  <dimension ref="A1:B20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24.00390625" customWidth="1"/>
    <col min="2" max="2" width="72.00390625" customWidth="1"/>
  </cols>
  <sheetData>
    <row r="1" ht="15" customHeight="1">
      <c r="A1" s="1"/>
      <c r="B1" s="1"/>
    </row>
    <row r="2" ht="21.75" customHeight="1">
      <c r="A2" s="35" t="s">
        <v>50</v>
      </c>
      <c r="B2" s="36"/>
    </row>
    <row r="3" ht="18" customHeight="1">
      <c r="A3" s="37"/>
    </row>
    <row r="4" ht="21.75" customHeight="1">
      <c r="A4" s="38" t="s">
        <v>51</v>
      </c>
      <c r="B4" s="36"/>
    </row>
    <row r="5" ht="18" customHeight="1">
      <c r="A5" s="39" t="s">
        <v>20</v>
      </c>
      <c r="B5" s="40" t="s">
        <v>52</v>
      </c>
    </row>
    <row r="6" ht="18" customHeight="1">
      <c r="A6" s="41" t="s">
        <v>53</v>
      </c>
      <c r="B6" s="42" t="s">
        <v>54</v>
      </c>
    </row>
    <row r="7" ht="18" customHeight="1">
      <c r="A7" s="43" t="s">
        <v>55</v>
      </c>
      <c r="B7" s="44" t="s">
        <v>56</v>
      </c>
    </row>
    <row r="8" ht="18" customHeight="1">
      <c r="A8" s="45" t="s">
        <v>57</v>
      </c>
      <c r="B8" s="46" t="s">
        <v>58</v>
      </c>
    </row>
    <row r="9" ht="18" customHeight="1">
      <c r="A9" s="47" t="s">
        <v>59</v>
      </c>
      <c r="B9" s="48" t="s">
        <v>60</v>
      </c>
    </row>
    <row r="10" ht="18" customHeight="1">
      <c r="A10" s="37"/>
    </row>
    <row r="11" ht="21.75" customHeight="1">
      <c r="A11" s="38" t="s">
        <v>61</v>
      </c>
      <c r="B11" s="36"/>
    </row>
    <row r="12" ht="18" customHeight="1">
      <c r="A12" s="37" t="s">
        <v>14</v>
      </c>
      <c r="B12" s="14" t="s">
        <v>62</v>
      </c>
    </row>
    <row r="13" ht="18" customHeight="1">
      <c r="A13" s="37" t="s">
        <v>9</v>
      </c>
      <c r="B13" s="14" t="s">
        <v>63</v>
      </c>
    </row>
    <row r="14" ht="18" customHeight="1">
      <c r="A14" s="37" t="s">
        <v>6</v>
      </c>
      <c r="B14" s="14" t="s">
        <v>64</v>
      </c>
    </row>
    <row r="15" ht="18" customHeight="1">
      <c r="A15" s="37" t="s">
        <v>13</v>
      </c>
      <c r="B15" s="14" t="s">
        <v>65</v>
      </c>
    </row>
    <row r="16" ht="18" customHeight="1">
      <c r="A16" s="37"/>
    </row>
    <row r="17" ht="21.75" customHeight="1">
      <c r="A17" s="38" t="s">
        <v>66</v>
      </c>
      <c r="B17" s="36"/>
    </row>
    <row r="18" ht="18" customHeight="1">
      <c r="A18" s="37" t="s">
        <v>67</v>
      </c>
      <c r="B18" s="14" t="s">
        <v>68</v>
      </c>
    </row>
    <row r="19" ht="18" customHeight="1">
      <c r="A19" s="37" t="s">
        <v>69</v>
      </c>
      <c r="B19" s="14" t="s">
        <v>70</v>
      </c>
    </row>
    <row r="20" ht="18" customHeight="1">
      <c r="A20" s="37" t="s">
        <v>71</v>
      </c>
      <c r="B20" s="14" t="s">
        <v>72</v>
      </c>
    </row>
  </sheetData>
  <mergeCells>
    <mergeCell ref="A4:B4"/>
    <mergeCell ref="A17:B17"/>
    <mergeCell ref="A11:B11"/>
    <mergeCell ref="A2:B2"/>
  </mergeCells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2026-03-18T22:37:35Z</dcterms:created>
  <dcterms:modified xsi:type="dcterms:W3CDTF">2026-03-18T22:37:35Z</dcterms:modified>
</cp:coreProperties>
</file>